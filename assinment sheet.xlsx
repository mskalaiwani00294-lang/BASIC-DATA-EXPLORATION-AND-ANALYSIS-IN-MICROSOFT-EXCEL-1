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"/>
    </mc:Choice>
  </mc:AlternateContent>
  <xr:revisionPtr revIDLastSave="0" documentId="13_ncr:1_{F4BCC836-76FD-4CE9-9713-FC210C9B2478}" xr6:coauthVersionLast="47" xr6:coauthVersionMax="47" xr10:uidLastSave="{00000000-0000-0000-0000-000000000000}"/>
  <bookViews>
    <workbookView xWindow="-110" yWindow="-110" windowWidth="19420" windowHeight="10420" xr2:uid="{11AB2C29-3D76-4532-9A55-27AC3897CBAF}"/>
  </bookViews>
  <sheets>
    <sheet name="DATA" sheetId="1" r:id="rId1"/>
    <sheet name="DATAS NEW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" i="2"/>
  <c r="O15" i="1"/>
  <c r="O10" i="1"/>
  <c r="G2" i="2" a="1"/>
  <c r="G2" i="2" s="1"/>
  <c r="J28" i="1"/>
  <c r="J23" i="1"/>
  <c r="K11" i="1"/>
  <c r="K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<sst xmlns="http://schemas.openxmlformats.org/spreadsheetml/2006/main" count="364" uniqueCount="127">
  <si>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</si>
  <si>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</si>
  <si>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</si>
  <si>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</si>
  <si>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</si>
  <si>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</si>
  <si>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</si>
  <si>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</si>
  <si>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</si>
  <si>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</si>
  <si>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</si>
  <si>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</si>
  <si>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</si>
  <si>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</si>
  <si>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</si>
  <si>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</si>
  <si>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</si>
  <si>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</si>
  <si>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</si>
  <si>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</si>
  <si>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</si>
  <si>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</si>
  <si>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</si>
  <si>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</si>
  <si>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</si>
  <si>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</si>
  <si>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</si>
  <si>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</si>
  <si>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</si>
  <si>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</si>
  <si>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</si>
  <si>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</si>
  <si>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</si>
  <si>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</si>
  <si>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</si>
  <si>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</si>
  <si>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</si>
  <si>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</si>
  <si>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</si>
  <si>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</si>
  <si>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</si>
  <si>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</si>
  <si>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</si>
  <si>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</si>
  <si>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</si>
  <si>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</si>
  <si>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</si>
  <si>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</si>
  <si>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</si>
  <si>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</si>
  <si>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</si>
  <si>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</si>
  <si>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</si>
  <si>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</si>
  <si>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</si>
  <si>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</si>
  <si>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</si>
  <si>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</si>
  <si>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</si>
  <si>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</si>
  <si>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</si>
  <si>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</si>
  <si>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</si>
  <si>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</si>
  <si>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</si>
  <si>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</si>
  <si>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</si>
  <si>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</si>
  <si>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</si>
  <si>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</si>
  <si>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</si>
  <si>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</si>
  <si>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</si>
  <si>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</si>
  <si>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</si>
  <si>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</si>
  <si>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</si>
  <si>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</si>
  <si>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</si>
  <si>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</si>
  <si>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</si>
  <si>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</si>
  <si>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</si>
  <si>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</si>
  <si>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</si>
  <si>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</si>
  <si>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</si>
  <si>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</si>
  <si>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</si>
  <si>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</si>
  <si>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</si>
  <si>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</si>
  <si>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</si>
  <si>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</si>
  <si>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SUM</t>
  </si>
  <si>
    <t>SUM(D2:D35)</t>
  </si>
  <si>
    <t>ANSWER</t>
  </si>
  <si>
    <t>COUNT</t>
  </si>
  <si>
    <t>Labtop</t>
  </si>
  <si>
    <t>COUNTA(B2:B35)</t>
  </si>
  <si>
    <t>AVERAGE</t>
  </si>
  <si>
    <t>2.Minimum and Maximum Values</t>
  </si>
  <si>
    <t>MINMUM(D2:D35)</t>
  </si>
  <si>
    <t>MAX(D2:D35)</t>
  </si>
  <si>
    <t>3. Logical Function – IF</t>
  </si>
  <si>
    <t>Price Range</t>
  </si>
  <si>
    <t>IF(D2:D35&gt;500,"HIGH PRICE","STANDARD PRICE")</t>
  </si>
  <si>
    <t>4. Conditional Functions – SUMIF and COUNTIF</t>
  </si>
  <si>
    <t>SUMIF(F2:F35,"ELECTRIONICS",D2:D35)</t>
  </si>
  <si>
    <t>SUMIF</t>
  </si>
  <si>
    <t>Tocalculate the total price of product in the eletronics category:</t>
  </si>
  <si>
    <t>COUNTIF</t>
  </si>
  <si>
    <t>To count the number of products with less then$100</t>
  </si>
  <si>
    <t>COUNTIF(D2:D35,"&lt;100")</t>
  </si>
  <si>
    <t>5. Text Formatting – LEFT, RIGHT, MID</t>
  </si>
  <si>
    <t>Total Price of All Products</t>
  </si>
  <si>
    <t>MINIMUM PRICE</t>
  </si>
  <si>
    <t>MAXIMUM PRICE</t>
  </si>
  <si>
    <t>LEFT(A2,2)</t>
  </si>
  <si>
    <t>MID(A2,4,3)</t>
  </si>
  <si>
    <t>RIGHT(A2,2)</t>
  </si>
  <si>
    <t>DAY</t>
  </si>
  <si>
    <t>MONTH</t>
  </si>
  <si>
    <t>COUNTRY CODE</t>
  </si>
  <si>
    <t>CREATE DATA  NEW COLUMN SHEET</t>
  </si>
  <si>
    <t>ANSWER-</t>
  </si>
  <si>
    <t>AVE(D2:D35)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</si>
</sst>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12" fillId="0" borderId="0" applyFont="0" applyFill="0" applyBorder="0" applyAlignment="0" applyProtection="0"/>
  </cellStyleXfs>
  <cellXfs count="24">
    <xf numFmtId="0" fontId="0" fillId="0" borderId="0" xfId="0"/>
    <xf numFmtId="0" fontId="4" fillId="2" borderId="0" xfId="1" applyFont="1" applyFill="1" applyAlignment="1">
      <alignment horizontal="center"/>
    </xf>
    <xf numFmtId="0" fontId="5" fillId="0" borderId="0" xfId="1" applyFont="1"/>
    <xf numFmtId="0" fontId="5" fillId="3" borderId="0" xfId="1" applyFont="1" applyFill="1"/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0" fillId="4" borderId="0" xfId="0" applyFill="1"/>
    <xf numFmtId="0" fontId="6" fillId="0" borderId="0" xfId="0" applyFont="1"/>
    <xf numFmtId="0" fontId="1" fillId="0" borderId="0" xfId="0" applyFont="1"/>
    <xf numFmtId="0" fontId="7" fillId="0" borderId="0" xfId="0" applyFont="1"/>
    <xf numFmtId="164" fontId="0" fillId="4" borderId="0" xfId="0" applyNumberFormat="1" applyFill="1"/>
    <xf numFmtId="0" fontId="8" fillId="0" borderId="0" xfId="1" applyFont="1"/>
    <xf numFmtId="0" fontId="2" fillId="0" borderId="0" xfId="0" applyFont="1"/>
    <xf numFmtId="0" fontId="9" fillId="0" borderId="0" xfId="0" applyFont="1"/>
    <xf numFmtId="0" fontId="10" fillId="2" borderId="0" xfId="1" applyFont="1" applyFill="1" applyAlignment="1">
      <alignment horizontal="center"/>
    </xf>
    <xf numFmtId="0" fontId="11" fillId="0" borderId="0" xfId="0" applyFont="1"/>
    <xf numFmtId="0" fontId="0" fillId="6" borderId="1" xfId="0" applyFill="1" applyBorder="1"/>
    <xf numFmtId="0" fontId="13" fillId="5" borderId="1" xfId="1" applyFont="1" applyFill="1" applyBorder="1" applyAlignment="1">
      <alignment horizontal="center"/>
    </xf>
    <xf numFmtId="0" fontId="13" fillId="6" borderId="1" xfId="1" applyFont="1" applyFill="1" applyBorder="1"/>
    <xf numFmtId="0" fontId="13" fillId="7" borderId="1" xfId="1" applyFont="1" applyFill="1" applyBorder="1"/>
    <xf numFmtId="0" fontId="14" fillId="5" borderId="1" xfId="1" applyFont="1" applyFill="1" applyBorder="1" applyAlignment="1">
      <alignment horizontal="center"/>
    </xf>
    <xf numFmtId="0" fontId="15" fillId="6" borderId="1" xfId="0" applyFont="1" applyFill="1" applyBorder="1"/>
    <xf numFmtId="44" fontId="0" fillId="4" borderId="0" xfId="2" applyFont="1" applyFill="1"/>
  </cellXfs>
  <cellStyles count="3">
    <cellStyle name="Currency" xfId="2" builtinId="4"/>
    <cellStyle name="Normal" xfId="0" builtinId="0"/>
    <cellStyle name="Normal 2" xfId="1" xr:uid="{B7BD7F8E-E7DA-4112-A947-2645B63DE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0D4F-B103-4602-A2AA-BFF9F0CEFBBC}">
  <dimension ref="A1:T35"/>
  <sheetViews>
    <sheetView tabSelected="1" topLeftCell="A2" workbookViewId="0">
      <selection activeCell="L12" sqref="L12"/>
    </sheetView>
  </sheetViews>
  <sheetFormatPr defaultRowHeight="14.5" x14ac:dyDescent="0.35"/>
  <cols>
    <col min="1" max="1" width="13.54296875" customWidth="1"/>
    <col min="2" max="2" width="17.08984375" customWidth="1"/>
    <col min="3" max="3" width="11.90625" customWidth="1"/>
    <col min="6" max="6" width="15.54296875" customWidth="1"/>
    <col min="7" max="7" width="6.54296875" customWidth="1"/>
    <col min="9" max="9" width="10.6328125" customWidth="1"/>
    <col min="11" max="11" width="10.269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5"/>
    </row>
    <row r="2" spans="1:20" x14ac:dyDescent="0.35">
      <c r="A2" s="2" t="s">
        <v>6</v>
      </c>
      <c r="B2" s="12" t="s">
        <v>98</v>
      </c>
      <c r="C2" s="2" t="s">
        <v>8</v>
      </c>
      <c r="D2" s="5">
        <v>1000</v>
      </c>
      <c r="E2" s="2">
        <v>30</v>
      </c>
      <c r="F2" s="2" t="s">
        <v>9</v>
      </c>
      <c r="G2" s="2"/>
    </row>
    <row r="3" spans="1:20" ht="21" x14ac:dyDescent="0.5">
      <c r="A3" s="3" t="s">
        <v>10</v>
      </c>
      <c r="B3" s="3" t="s">
        <v>11</v>
      </c>
      <c r="C3" s="3" t="s">
        <v>12</v>
      </c>
      <c r="D3" s="6">
        <v>80</v>
      </c>
      <c r="E3" s="3">
        <v>15</v>
      </c>
      <c r="F3" s="3" t="s">
        <v>13</v>
      </c>
      <c r="G3" s="3"/>
      <c r="I3" s="8" t="s">
        <v>93</v>
      </c>
      <c r="J3" s="8"/>
      <c r="K3" s="8"/>
      <c r="L3" s="9"/>
      <c r="N3" s="8" t="s">
        <v>104</v>
      </c>
      <c r="O3" s="8"/>
      <c r="P3" s="8"/>
    </row>
    <row r="4" spans="1:20" ht="15.5" x14ac:dyDescent="0.35">
      <c r="A4" s="2" t="s">
        <v>14</v>
      </c>
      <c r="B4" s="2" t="s">
        <v>15</v>
      </c>
      <c r="C4" s="2" t="s">
        <v>16</v>
      </c>
      <c r="D4" s="5">
        <v>130</v>
      </c>
      <c r="E4" s="2">
        <v>40</v>
      </c>
      <c r="F4" s="2" t="s">
        <v>17</v>
      </c>
      <c r="G4" s="2"/>
      <c r="I4" s="14" t="s">
        <v>94</v>
      </c>
      <c r="J4" s="13" t="s">
        <v>115</v>
      </c>
      <c r="K4" s="14"/>
      <c r="L4" s="13"/>
      <c r="M4" s="10"/>
      <c r="N4" s="10" t="s">
        <v>106</v>
      </c>
      <c r="O4" s="10"/>
      <c r="P4" s="10"/>
      <c r="Q4" s="10"/>
      <c r="R4" s="10"/>
    </row>
    <row r="5" spans="1:20" x14ac:dyDescent="0.35">
      <c r="A5" s="3" t="s">
        <v>18</v>
      </c>
      <c r="B5" s="3" t="s">
        <v>19</v>
      </c>
      <c r="C5" s="3" t="s">
        <v>20</v>
      </c>
      <c r="D5" s="6">
        <v>900</v>
      </c>
      <c r="E5" s="3">
        <v>25</v>
      </c>
      <c r="F5" s="3" t="s">
        <v>9</v>
      </c>
      <c r="G5" s="3"/>
      <c r="K5" s="10" t="s">
        <v>95</v>
      </c>
      <c r="L5" s="10"/>
      <c r="N5" s="7" t="s">
        <v>125</v>
      </c>
      <c r="O5" s="7" t="s">
        <v>124</v>
      </c>
      <c r="P5" s="7"/>
      <c r="Q5" s="7"/>
    </row>
    <row r="6" spans="1:20" x14ac:dyDescent="0.35">
      <c r="A6" s="2" t="s">
        <v>21</v>
      </c>
      <c r="B6" s="2" t="s">
        <v>22</v>
      </c>
      <c r="C6" s="2" t="s">
        <v>23</v>
      </c>
      <c r="D6" s="5">
        <v>70</v>
      </c>
      <c r="E6" s="2">
        <v>20</v>
      </c>
      <c r="F6" s="2" t="s">
        <v>24</v>
      </c>
      <c r="G6" s="2"/>
    </row>
    <row r="7" spans="1:20" ht="21" x14ac:dyDescent="0.5">
      <c r="A7" s="3" t="s">
        <v>25</v>
      </c>
      <c r="B7" s="3" t="s">
        <v>26</v>
      </c>
      <c r="C7" s="3" t="s">
        <v>27</v>
      </c>
      <c r="D7" s="6">
        <v>200</v>
      </c>
      <c r="E7" s="3">
        <v>45</v>
      </c>
      <c r="F7" s="3" t="s">
        <v>9</v>
      </c>
      <c r="G7" s="3"/>
      <c r="J7" s="7" t="s">
        <v>96</v>
      </c>
      <c r="K7" s="11">
        <f>SUM(D2:D2:D35)</f>
        <v>10100</v>
      </c>
      <c r="N7" s="8" t="s">
        <v>107</v>
      </c>
      <c r="O7" s="16"/>
      <c r="P7" s="16"/>
      <c r="Q7" s="16"/>
      <c r="R7" s="16"/>
    </row>
    <row r="8" spans="1:20" ht="15.5" x14ac:dyDescent="0.35">
      <c r="A8" s="2" t="s">
        <v>28</v>
      </c>
      <c r="B8" s="2" t="s">
        <v>29</v>
      </c>
      <c r="C8" s="2" t="s">
        <v>30</v>
      </c>
      <c r="D8" s="5">
        <v>30</v>
      </c>
      <c r="E8" s="2">
        <v>5</v>
      </c>
      <c r="F8" s="2" t="s">
        <v>13</v>
      </c>
      <c r="G8" s="2"/>
      <c r="I8" s="14" t="s">
        <v>97</v>
      </c>
      <c r="N8" s="14" t="s">
        <v>109</v>
      </c>
      <c r="O8" s="13" t="s">
        <v>110</v>
      </c>
      <c r="P8" s="13"/>
      <c r="Q8" s="13"/>
      <c r="R8" s="13"/>
      <c r="S8" s="13"/>
      <c r="T8" s="13"/>
    </row>
    <row r="9" spans="1:20" x14ac:dyDescent="0.35">
      <c r="A9" s="3" t="s">
        <v>31</v>
      </c>
      <c r="B9" s="3" t="s">
        <v>32</v>
      </c>
      <c r="C9" s="3" t="s">
        <v>33</v>
      </c>
      <c r="D9" s="6">
        <v>90</v>
      </c>
      <c r="E9" s="3">
        <v>35</v>
      </c>
      <c r="F9" s="3" t="s">
        <v>17</v>
      </c>
      <c r="G9" s="3"/>
      <c r="K9" s="10" t="s">
        <v>99</v>
      </c>
      <c r="N9" s="10" t="s">
        <v>108</v>
      </c>
      <c r="O9" s="10"/>
      <c r="P9" s="10"/>
      <c r="Q9" s="10"/>
    </row>
    <row r="10" spans="1:20" x14ac:dyDescent="0.35">
      <c r="A10" s="2" t="s">
        <v>34</v>
      </c>
      <c r="B10" s="2" t="s">
        <v>35</v>
      </c>
      <c r="C10" s="2" t="s">
        <v>36</v>
      </c>
      <c r="D10" s="5">
        <v>500</v>
      </c>
      <c r="E10" s="2">
        <v>50</v>
      </c>
      <c r="F10" s="2" t="s">
        <v>9</v>
      </c>
      <c r="G10" s="2"/>
      <c r="N10" s="7" t="s">
        <v>96</v>
      </c>
      <c r="O10" s="7">
        <f>SUMIF(F2:F35,"ELECTRONICS",D2:D35)</f>
        <v>8050</v>
      </c>
    </row>
    <row r="11" spans="1:20" x14ac:dyDescent="0.35">
      <c r="A11" s="3" t="s">
        <v>37</v>
      </c>
      <c r="B11" s="3" t="s">
        <v>38</v>
      </c>
      <c r="C11" s="3" t="s">
        <v>39</v>
      </c>
      <c r="D11" s="6">
        <v>130</v>
      </c>
      <c r="E11" s="3">
        <v>10</v>
      </c>
      <c r="F11" s="3" t="s">
        <v>24</v>
      </c>
      <c r="G11" s="3"/>
      <c r="J11" s="7" t="s">
        <v>96</v>
      </c>
      <c r="K11" s="7">
        <f>COUNTA(B2:B35)</f>
        <v>34</v>
      </c>
    </row>
    <row r="12" spans="1:20" ht="15.5" x14ac:dyDescent="0.35">
      <c r="A12" s="2" t="s">
        <v>40</v>
      </c>
      <c r="B12" s="2" t="s">
        <v>7</v>
      </c>
      <c r="C12" s="2" t="s">
        <v>41</v>
      </c>
      <c r="D12" s="5">
        <v>950</v>
      </c>
      <c r="E12" s="2">
        <v>25</v>
      </c>
      <c r="F12" s="2" t="s">
        <v>9</v>
      </c>
      <c r="G12" s="2"/>
      <c r="N12" s="14" t="s">
        <v>111</v>
      </c>
      <c r="O12" s="13" t="s">
        <v>112</v>
      </c>
      <c r="P12" s="13"/>
      <c r="Q12" s="13"/>
      <c r="R12" s="13"/>
      <c r="S12" s="13"/>
    </row>
    <row r="13" spans="1:20" ht="15.5" x14ac:dyDescent="0.35">
      <c r="A13" s="3" t="s">
        <v>42</v>
      </c>
      <c r="B13" s="3" t="s">
        <v>11</v>
      </c>
      <c r="C13" s="3" t="s">
        <v>30</v>
      </c>
      <c r="D13" s="6">
        <v>90</v>
      </c>
      <c r="E13" s="3">
        <v>40</v>
      </c>
      <c r="F13" s="3" t="s">
        <v>13</v>
      </c>
      <c r="G13" s="3"/>
      <c r="I13" s="14" t="s">
        <v>100</v>
      </c>
      <c r="N13" s="10" t="s">
        <v>113</v>
      </c>
      <c r="O13" s="10"/>
      <c r="P13" s="10"/>
    </row>
    <row r="14" spans="1:20" x14ac:dyDescent="0.35">
      <c r="A14" s="2" t="s">
        <v>43</v>
      </c>
      <c r="B14" s="2" t="s">
        <v>15</v>
      </c>
      <c r="C14" s="2" t="s">
        <v>44</v>
      </c>
      <c r="D14" s="5">
        <v>120</v>
      </c>
      <c r="E14" s="2">
        <v>35</v>
      </c>
      <c r="F14" s="2" t="s">
        <v>17</v>
      </c>
      <c r="G14" s="2"/>
      <c r="K14" s="10" t="s">
        <v>126</v>
      </c>
      <c r="L14" s="10"/>
    </row>
    <row r="15" spans="1:20" x14ac:dyDescent="0.35">
      <c r="A15" s="3" t="s">
        <v>45</v>
      </c>
      <c r="B15" s="3" t="s">
        <v>46</v>
      </c>
      <c r="C15" s="3" t="s">
        <v>47</v>
      </c>
      <c r="D15" s="6">
        <v>150</v>
      </c>
      <c r="E15" s="3">
        <v>15</v>
      </c>
      <c r="F15" s="3" t="s">
        <v>9</v>
      </c>
      <c r="G15" s="3"/>
      <c r="J15" s="7" t="s">
        <v>96</v>
      </c>
      <c r="K15" s="23">
        <f>AVERAGE(D2:D35)</f>
        <v>297.05882352941177</v>
      </c>
      <c r="N15" s="7" t="s">
        <v>96</v>
      </c>
      <c r="O15" s="7">
        <f>COUNTIF(D2:D35,"&lt;100")</f>
        <v>11</v>
      </c>
    </row>
    <row r="16" spans="1:20" x14ac:dyDescent="0.35">
      <c r="A16" s="2" t="s">
        <v>48</v>
      </c>
      <c r="B16" s="2" t="s">
        <v>26</v>
      </c>
      <c r="C16" s="2" t="s">
        <v>49</v>
      </c>
      <c r="D16" s="5">
        <v>250</v>
      </c>
      <c r="E16" s="2">
        <v>20</v>
      </c>
      <c r="F16" s="2" t="s">
        <v>9</v>
      </c>
      <c r="G16" s="2"/>
    </row>
    <row r="17" spans="1:17" x14ac:dyDescent="0.35">
      <c r="A17" s="3" t="s">
        <v>50</v>
      </c>
      <c r="B17" s="3" t="s">
        <v>51</v>
      </c>
      <c r="C17" s="3" t="s">
        <v>52</v>
      </c>
      <c r="D17" s="6">
        <v>50</v>
      </c>
      <c r="E17" s="3">
        <v>35</v>
      </c>
      <c r="F17" s="3" t="s">
        <v>53</v>
      </c>
      <c r="G17" s="3"/>
    </row>
    <row r="18" spans="1:17" ht="21" x14ac:dyDescent="0.5">
      <c r="A18" s="2" t="s">
        <v>54</v>
      </c>
      <c r="B18" s="2" t="s">
        <v>46</v>
      </c>
      <c r="C18" s="2" t="s">
        <v>55</v>
      </c>
      <c r="D18" s="5">
        <v>160</v>
      </c>
      <c r="E18" s="2">
        <v>15</v>
      </c>
      <c r="F18" s="2" t="s">
        <v>9</v>
      </c>
      <c r="G18" s="2"/>
      <c r="I18" s="8" t="s">
        <v>101</v>
      </c>
      <c r="J18" s="16"/>
      <c r="K18" s="16"/>
      <c r="L18" s="16"/>
      <c r="N18" s="8" t="s">
        <v>114</v>
      </c>
      <c r="O18" s="8"/>
      <c r="P18" s="8"/>
      <c r="Q18" s="8"/>
    </row>
    <row r="19" spans="1:17" x14ac:dyDescent="0.35">
      <c r="A19" s="3" t="s">
        <v>56</v>
      </c>
      <c r="B19" s="3" t="s">
        <v>7</v>
      </c>
      <c r="C19" s="3" t="s">
        <v>57</v>
      </c>
      <c r="D19" s="6">
        <v>980</v>
      </c>
      <c r="E19" s="3">
        <v>10</v>
      </c>
      <c r="F19" s="3" t="s">
        <v>9</v>
      </c>
      <c r="G19" s="3"/>
    </row>
    <row r="20" spans="1:17" x14ac:dyDescent="0.35">
      <c r="A20" s="2" t="s">
        <v>58</v>
      </c>
      <c r="B20" s="2" t="s">
        <v>59</v>
      </c>
      <c r="C20" s="2" t="s">
        <v>60</v>
      </c>
      <c r="D20" s="5">
        <v>150</v>
      </c>
      <c r="E20" s="2">
        <v>15</v>
      </c>
      <c r="F20" s="2" t="s">
        <v>13</v>
      </c>
      <c r="G20" s="2"/>
      <c r="I20" s="13" t="s">
        <v>116</v>
      </c>
      <c r="J20" s="13"/>
      <c r="N20" s="10" t="s">
        <v>118</v>
      </c>
    </row>
    <row r="21" spans="1:17" x14ac:dyDescent="0.35">
      <c r="A21" s="3" t="s">
        <v>61</v>
      </c>
      <c r="B21" s="3" t="s">
        <v>62</v>
      </c>
      <c r="C21" s="3" t="s">
        <v>63</v>
      </c>
      <c r="D21" s="6">
        <v>200</v>
      </c>
      <c r="E21" s="3">
        <v>10</v>
      </c>
      <c r="F21" s="3" t="s">
        <v>24</v>
      </c>
      <c r="G21" s="3"/>
      <c r="J21" s="10" t="s">
        <v>102</v>
      </c>
      <c r="K21" s="10"/>
      <c r="N21" s="7" t="s">
        <v>125</v>
      </c>
      <c r="O21" s="7" t="s">
        <v>124</v>
      </c>
      <c r="P21" s="7"/>
      <c r="Q21" s="7"/>
    </row>
    <row r="22" spans="1:17" x14ac:dyDescent="0.35">
      <c r="A22" s="2" t="s">
        <v>64</v>
      </c>
      <c r="B22" s="2" t="s">
        <v>65</v>
      </c>
      <c r="C22" s="2" t="s">
        <v>66</v>
      </c>
      <c r="D22" s="5">
        <v>700</v>
      </c>
      <c r="E22" s="2">
        <v>50</v>
      </c>
      <c r="F22" s="2" t="s">
        <v>9</v>
      </c>
      <c r="G22" s="2"/>
    </row>
    <row r="23" spans="1:17" x14ac:dyDescent="0.35">
      <c r="A23" s="3" t="s">
        <v>67</v>
      </c>
      <c r="B23" s="3" t="s">
        <v>68</v>
      </c>
      <c r="C23" s="3" t="s">
        <v>69</v>
      </c>
      <c r="D23" s="6">
        <v>80</v>
      </c>
      <c r="E23" s="3">
        <v>20</v>
      </c>
      <c r="F23" s="3" t="s">
        <v>17</v>
      </c>
      <c r="G23" s="3"/>
      <c r="I23" s="7" t="s">
        <v>96</v>
      </c>
      <c r="J23" s="7">
        <f>MIN(D2:D35)</f>
        <v>30</v>
      </c>
      <c r="N23" s="10" t="s">
        <v>119</v>
      </c>
      <c r="O23" s="10"/>
    </row>
    <row r="24" spans="1:17" x14ac:dyDescent="0.35">
      <c r="A24" s="2" t="s">
        <v>70</v>
      </c>
      <c r="B24" s="2" t="s">
        <v>71</v>
      </c>
      <c r="C24" s="2" t="s">
        <v>72</v>
      </c>
      <c r="D24" s="5">
        <v>150</v>
      </c>
      <c r="E24" s="2">
        <v>30</v>
      </c>
      <c r="F24" s="2" t="s">
        <v>9</v>
      </c>
      <c r="G24" s="2"/>
      <c r="N24" s="7" t="s">
        <v>125</v>
      </c>
      <c r="O24" s="7" t="s">
        <v>124</v>
      </c>
      <c r="P24" s="7"/>
      <c r="Q24" s="7"/>
    </row>
    <row r="25" spans="1:17" x14ac:dyDescent="0.35">
      <c r="A25" s="3" t="s">
        <v>50</v>
      </c>
      <c r="B25" s="3" t="s">
        <v>51</v>
      </c>
      <c r="C25" s="3" t="s">
        <v>52</v>
      </c>
      <c r="D25" s="6">
        <v>50</v>
      </c>
      <c r="E25" s="3">
        <v>35</v>
      </c>
      <c r="F25" s="3" t="s">
        <v>53</v>
      </c>
      <c r="G25" s="3"/>
      <c r="I25" s="13" t="s">
        <v>117</v>
      </c>
      <c r="J25" s="13"/>
    </row>
    <row r="26" spans="1:17" x14ac:dyDescent="0.35">
      <c r="A26" s="2" t="s">
        <v>73</v>
      </c>
      <c r="B26" s="2" t="s">
        <v>19</v>
      </c>
      <c r="C26" s="2" t="s">
        <v>74</v>
      </c>
      <c r="D26" s="5">
        <v>800</v>
      </c>
      <c r="E26" s="2">
        <v>45</v>
      </c>
      <c r="F26" s="2" t="s">
        <v>9</v>
      </c>
      <c r="G26" s="2"/>
      <c r="J26" s="10" t="s">
        <v>103</v>
      </c>
      <c r="N26" s="10" t="s">
        <v>120</v>
      </c>
      <c r="O26" s="10"/>
    </row>
    <row r="27" spans="1:17" x14ac:dyDescent="0.35">
      <c r="A27" s="3" t="s">
        <v>75</v>
      </c>
      <c r="B27" s="3" t="s">
        <v>59</v>
      </c>
      <c r="C27" s="3" t="s">
        <v>76</v>
      </c>
      <c r="D27" s="6">
        <v>130</v>
      </c>
      <c r="E27" s="3">
        <v>25</v>
      </c>
      <c r="F27" s="3" t="s">
        <v>13</v>
      </c>
      <c r="G27" s="3"/>
      <c r="N27" s="7" t="s">
        <v>125</v>
      </c>
      <c r="O27" s="7" t="s">
        <v>124</v>
      </c>
      <c r="P27" s="7"/>
      <c r="Q27" s="7"/>
    </row>
    <row r="28" spans="1:17" x14ac:dyDescent="0.35">
      <c r="A28" s="2" t="s">
        <v>77</v>
      </c>
      <c r="B28" s="2" t="s">
        <v>32</v>
      </c>
      <c r="C28" s="2" t="s">
        <v>78</v>
      </c>
      <c r="D28" s="5">
        <v>400</v>
      </c>
      <c r="E28" s="2">
        <v>40</v>
      </c>
      <c r="F28" s="2" t="s">
        <v>17</v>
      </c>
      <c r="G28" s="2"/>
      <c r="I28" s="7" t="s">
        <v>96</v>
      </c>
      <c r="J28" s="7">
        <f>MAX(D2:D35)</f>
        <v>1000</v>
      </c>
    </row>
    <row r="29" spans="1:17" x14ac:dyDescent="0.35">
      <c r="A29" s="3" t="s">
        <v>48</v>
      </c>
      <c r="B29" s="3" t="s">
        <v>26</v>
      </c>
      <c r="C29" s="3" t="s">
        <v>49</v>
      </c>
      <c r="D29" s="6">
        <v>230</v>
      </c>
      <c r="E29" s="3">
        <v>20</v>
      </c>
      <c r="F29" s="3" t="s">
        <v>9</v>
      </c>
      <c r="G29" s="3"/>
    </row>
    <row r="30" spans="1:17" x14ac:dyDescent="0.35">
      <c r="A30" s="2" t="s">
        <v>79</v>
      </c>
      <c r="B30" s="2" t="s">
        <v>80</v>
      </c>
      <c r="C30" s="2" t="s">
        <v>81</v>
      </c>
      <c r="D30" s="5">
        <v>60</v>
      </c>
      <c r="E30" s="2">
        <v>30</v>
      </c>
      <c r="F30" s="2" t="s">
        <v>13</v>
      </c>
      <c r="G30" s="2"/>
    </row>
    <row r="31" spans="1:17" x14ac:dyDescent="0.35">
      <c r="A31" s="3" t="s">
        <v>82</v>
      </c>
      <c r="B31" s="3" t="s">
        <v>83</v>
      </c>
      <c r="C31" s="3" t="s">
        <v>84</v>
      </c>
      <c r="D31" s="6">
        <v>40</v>
      </c>
      <c r="E31" s="3">
        <v>10</v>
      </c>
      <c r="F31" s="3" t="s">
        <v>17</v>
      </c>
      <c r="G31" s="3"/>
    </row>
    <row r="32" spans="1:17" x14ac:dyDescent="0.35">
      <c r="A32" s="2" t="s">
        <v>85</v>
      </c>
      <c r="B32" s="2" t="s">
        <v>71</v>
      </c>
      <c r="C32" s="2" t="s">
        <v>86</v>
      </c>
      <c r="D32" s="5">
        <v>130</v>
      </c>
      <c r="E32" s="2">
        <v>5</v>
      </c>
      <c r="F32" s="2" t="s">
        <v>9</v>
      </c>
      <c r="G32" s="2"/>
    </row>
    <row r="33" spans="1:7" x14ac:dyDescent="0.35">
      <c r="A33" s="3" t="s">
        <v>87</v>
      </c>
      <c r="B33" s="3" t="s">
        <v>88</v>
      </c>
      <c r="C33" s="3" t="s">
        <v>89</v>
      </c>
      <c r="D33" s="6">
        <v>50</v>
      </c>
      <c r="E33" s="3">
        <v>50</v>
      </c>
      <c r="F33" s="3" t="s">
        <v>13</v>
      </c>
      <c r="G33" s="3"/>
    </row>
    <row r="34" spans="1:7" x14ac:dyDescent="0.35">
      <c r="A34" s="2" t="s">
        <v>40</v>
      </c>
      <c r="B34" s="2" t="s">
        <v>7</v>
      </c>
      <c r="C34" s="2" t="s">
        <v>41</v>
      </c>
      <c r="D34" s="5">
        <v>950</v>
      </c>
      <c r="E34" s="2">
        <v>25</v>
      </c>
      <c r="F34" s="2" t="s">
        <v>9</v>
      </c>
      <c r="G34" s="2"/>
    </row>
    <row r="35" spans="1:7" x14ac:dyDescent="0.35">
      <c r="A35" s="3" t="s">
        <v>90</v>
      </c>
      <c r="B35" s="3" t="s">
        <v>91</v>
      </c>
      <c r="C35" s="3" t="s">
        <v>92</v>
      </c>
      <c r="D35" s="6">
        <v>100</v>
      </c>
      <c r="E35" s="3">
        <v>20</v>
      </c>
      <c r="F35" s="3" t="s">
        <v>53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9A53-F9CC-46B9-BCD3-489E5BBB66B3}">
  <dimension ref="A1:M37"/>
  <sheetViews>
    <sheetView workbookViewId="0">
      <selection activeCell="O4" sqref="O4"/>
    </sheetView>
  </sheetViews>
  <sheetFormatPr defaultRowHeight="14.5" x14ac:dyDescent="0.35"/>
  <cols>
    <col min="1" max="1" width="16.08984375" customWidth="1"/>
    <col min="2" max="2" width="13.36328125" customWidth="1"/>
    <col min="3" max="3" width="11.54296875" customWidth="1"/>
    <col min="4" max="4" width="8" bestFit="1" customWidth="1"/>
    <col min="5" max="5" width="8.7265625" hidden="1" customWidth="1"/>
    <col min="6" max="6" width="16" customWidth="1"/>
    <col min="7" max="7" width="18.453125" style="17" customWidth="1"/>
    <col min="8" max="8" width="8.1796875" customWidth="1"/>
    <col min="9" max="9" width="7.90625" customWidth="1"/>
    <col min="10" max="10" width="17.1796875" customWidth="1"/>
    <col min="11" max="11" width="9.08984375" style="22" customWidth="1"/>
    <col min="12" max="12" width="7.81640625" style="22" customWidth="1"/>
    <col min="13" max="13" width="16.26953125" style="2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8" t="s">
        <v>105</v>
      </c>
      <c r="J1" s="1" t="s">
        <v>0</v>
      </c>
      <c r="K1" s="21" t="s">
        <v>121</v>
      </c>
      <c r="L1" s="21" t="s">
        <v>122</v>
      </c>
      <c r="M1" s="21" t="s">
        <v>123</v>
      </c>
    </row>
    <row r="2" spans="1:13" x14ac:dyDescent="0.35">
      <c r="A2" s="2" t="s">
        <v>6</v>
      </c>
      <c r="B2" s="12" t="s">
        <v>98</v>
      </c>
      <c r="C2" s="2" t="s">
        <v>8</v>
      </c>
      <c r="D2" s="5">
        <v>1000</v>
      </c>
      <c r="E2" s="2">
        <v>30</v>
      </c>
      <c r="F2" s="2" t="s">
        <v>9</v>
      </c>
      <c r="G2" s="19" t="str" cm="1">
        <f t="array" ref="G2:G35">IF(D2:D35&gt;=500,"HIGH PRICE","STANDARD PRICE")</f>
        <v>HIGH PRICE</v>
      </c>
      <c r="J2" s="2" t="s">
        <v>6</v>
      </c>
      <c r="K2" s="22" t="str">
        <f>LEFT(J2,2)</f>
        <v>28</v>
      </c>
      <c r="L2" s="22" t="str">
        <f>MID(J2,4,3)</f>
        <v>JAN</v>
      </c>
      <c r="M2" s="22" t="str">
        <f>RIGHT(J2,2)</f>
        <v>US</v>
      </c>
    </row>
    <row r="3" spans="1:13" x14ac:dyDescent="0.35">
      <c r="A3" s="3" t="s">
        <v>10</v>
      </c>
      <c r="B3" s="3" t="s">
        <v>11</v>
      </c>
      <c r="C3" s="3" t="s">
        <v>12</v>
      </c>
      <c r="D3" s="6">
        <v>80</v>
      </c>
      <c r="E3" s="3">
        <v>15</v>
      </c>
      <c r="F3" s="3" t="s">
        <v>13</v>
      </c>
      <c r="G3" s="20" t="str">
        <v>STANDARD PRICE</v>
      </c>
      <c r="J3" s="3" t="s">
        <v>10</v>
      </c>
      <c r="K3" s="22" t="str">
        <f t="shared" ref="K3:K37" si="0">LEFT(J3,2)</f>
        <v>15</v>
      </c>
      <c r="L3" s="22" t="str">
        <f t="shared" ref="L3:L35" si="1">MID(J3,4,3)</f>
        <v>FEB</v>
      </c>
      <c r="M3" s="22" t="str">
        <f t="shared" ref="M3:M35" si="2">RIGHT(J3,2)</f>
        <v>US</v>
      </c>
    </row>
    <row r="4" spans="1:13" x14ac:dyDescent="0.35">
      <c r="A4" s="2" t="s">
        <v>14</v>
      </c>
      <c r="B4" s="2" t="s">
        <v>15</v>
      </c>
      <c r="C4" s="2" t="s">
        <v>16</v>
      </c>
      <c r="D4" s="5">
        <v>130</v>
      </c>
      <c r="E4" s="2">
        <v>40</v>
      </c>
      <c r="F4" s="2" t="s">
        <v>17</v>
      </c>
      <c r="G4" s="19" t="str">
        <v>STANDARD PRICE</v>
      </c>
      <c r="J4" s="2" t="s">
        <v>14</v>
      </c>
      <c r="K4" s="22" t="str">
        <f t="shared" si="0"/>
        <v>03</v>
      </c>
      <c r="L4" s="22" t="str">
        <f t="shared" si="1"/>
        <v>MAR</v>
      </c>
      <c r="M4" s="22" t="str">
        <f t="shared" si="2"/>
        <v>US</v>
      </c>
    </row>
    <row r="5" spans="1:13" x14ac:dyDescent="0.35">
      <c r="A5" s="3" t="s">
        <v>18</v>
      </c>
      <c r="B5" s="3" t="s">
        <v>19</v>
      </c>
      <c r="C5" s="3" t="s">
        <v>20</v>
      </c>
      <c r="D5" s="6">
        <v>900</v>
      </c>
      <c r="E5" s="3">
        <v>25</v>
      </c>
      <c r="F5" s="3" t="s">
        <v>9</v>
      </c>
      <c r="G5" s="20" t="str">
        <v>HIGH PRICE</v>
      </c>
      <c r="J5" s="3" t="s">
        <v>18</v>
      </c>
      <c r="K5" s="22" t="str">
        <f t="shared" si="0"/>
        <v>11</v>
      </c>
      <c r="L5" s="22" t="str">
        <f t="shared" si="1"/>
        <v>APR</v>
      </c>
      <c r="M5" s="22" t="str">
        <f t="shared" si="2"/>
        <v>US</v>
      </c>
    </row>
    <row r="6" spans="1:13" x14ac:dyDescent="0.35">
      <c r="A6" s="2" t="s">
        <v>21</v>
      </c>
      <c r="B6" s="2" t="s">
        <v>22</v>
      </c>
      <c r="C6" s="2" t="s">
        <v>23</v>
      </c>
      <c r="D6" s="5">
        <v>70</v>
      </c>
      <c r="E6" s="2">
        <v>20</v>
      </c>
      <c r="F6" s="2" t="s">
        <v>24</v>
      </c>
      <c r="G6" s="19" t="str">
        <v>STANDARD PRICE</v>
      </c>
      <c r="J6" s="2" t="s">
        <v>21</v>
      </c>
      <c r="K6" s="22" t="str">
        <f t="shared" si="0"/>
        <v>22</v>
      </c>
      <c r="L6" s="22" t="str">
        <f t="shared" si="1"/>
        <v>MAY</v>
      </c>
      <c r="M6" s="22" t="str">
        <f t="shared" si="2"/>
        <v>US</v>
      </c>
    </row>
    <row r="7" spans="1:13" x14ac:dyDescent="0.35">
      <c r="A7" s="3" t="s">
        <v>25</v>
      </c>
      <c r="B7" s="3" t="s">
        <v>26</v>
      </c>
      <c r="C7" s="3" t="s">
        <v>27</v>
      </c>
      <c r="D7" s="6">
        <v>200</v>
      </c>
      <c r="E7" s="3">
        <v>45</v>
      </c>
      <c r="F7" s="3" t="s">
        <v>9</v>
      </c>
      <c r="G7" s="20" t="str">
        <v>STANDARD PRICE</v>
      </c>
      <c r="J7" s="3" t="s">
        <v>25</v>
      </c>
      <c r="K7" s="22" t="str">
        <f t="shared" si="0"/>
        <v>07</v>
      </c>
      <c r="L7" s="22" t="str">
        <f t="shared" si="1"/>
        <v>JUN</v>
      </c>
      <c r="M7" s="22" t="str">
        <f t="shared" si="2"/>
        <v>UK</v>
      </c>
    </row>
    <row r="8" spans="1:13" x14ac:dyDescent="0.35">
      <c r="A8" s="2" t="s">
        <v>28</v>
      </c>
      <c r="B8" s="2" t="s">
        <v>29</v>
      </c>
      <c r="C8" s="2" t="s">
        <v>30</v>
      </c>
      <c r="D8" s="5">
        <v>30</v>
      </c>
      <c r="E8" s="2">
        <v>5</v>
      </c>
      <c r="F8" s="2" t="s">
        <v>13</v>
      </c>
      <c r="G8" s="19" t="str">
        <v>STANDARD PRICE</v>
      </c>
      <c r="J8" s="2" t="s">
        <v>28</v>
      </c>
      <c r="K8" s="22" t="str">
        <f t="shared" si="0"/>
        <v>19</v>
      </c>
      <c r="L8" s="22" t="str">
        <f t="shared" si="1"/>
        <v>JUL</v>
      </c>
      <c r="M8" s="22" t="str">
        <f t="shared" si="2"/>
        <v>UK</v>
      </c>
    </row>
    <row r="9" spans="1:13" x14ac:dyDescent="0.35">
      <c r="A9" s="3" t="s">
        <v>31</v>
      </c>
      <c r="B9" s="3" t="s">
        <v>32</v>
      </c>
      <c r="C9" s="3" t="s">
        <v>33</v>
      </c>
      <c r="D9" s="6">
        <v>90</v>
      </c>
      <c r="E9" s="3">
        <v>35</v>
      </c>
      <c r="F9" s="3" t="s">
        <v>17</v>
      </c>
      <c r="G9" s="20" t="str">
        <v>STANDARD PRICE</v>
      </c>
      <c r="J9" s="3" t="s">
        <v>31</v>
      </c>
      <c r="K9" s="22" t="str">
        <f t="shared" si="0"/>
        <v>23</v>
      </c>
      <c r="L9" s="22" t="str">
        <f t="shared" si="1"/>
        <v>AUG</v>
      </c>
      <c r="M9" s="22" t="str">
        <f t="shared" si="2"/>
        <v>UK</v>
      </c>
    </row>
    <row r="10" spans="1:13" x14ac:dyDescent="0.35">
      <c r="A10" s="2" t="s">
        <v>34</v>
      </c>
      <c r="B10" s="2" t="s">
        <v>35</v>
      </c>
      <c r="C10" s="2" t="s">
        <v>36</v>
      </c>
      <c r="D10" s="5">
        <v>500</v>
      </c>
      <c r="E10" s="2">
        <v>50</v>
      </c>
      <c r="F10" s="2" t="s">
        <v>9</v>
      </c>
      <c r="G10" s="19" t="str">
        <v>HIGH PRICE</v>
      </c>
      <c r="J10" s="2" t="s">
        <v>34</v>
      </c>
      <c r="K10" s="22" t="str">
        <f t="shared" si="0"/>
        <v>05</v>
      </c>
      <c r="L10" s="22" t="str">
        <f t="shared" si="1"/>
        <v>SEP</v>
      </c>
      <c r="M10" s="22" t="str">
        <f t="shared" si="2"/>
        <v>UK</v>
      </c>
    </row>
    <row r="11" spans="1:13" x14ac:dyDescent="0.35">
      <c r="A11" s="3" t="s">
        <v>37</v>
      </c>
      <c r="B11" s="3" t="s">
        <v>38</v>
      </c>
      <c r="C11" s="3" t="s">
        <v>39</v>
      </c>
      <c r="D11" s="6">
        <v>130</v>
      </c>
      <c r="E11" s="3">
        <v>10</v>
      </c>
      <c r="F11" s="3" t="s">
        <v>24</v>
      </c>
      <c r="G11" s="20" t="str">
        <v>STANDARD PRICE</v>
      </c>
      <c r="J11" s="3" t="s">
        <v>37</v>
      </c>
      <c r="K11" s="22" t="str">
        <f t="shared" si="0"/>
        <v>14</v>
      </c>
      <c r="L11" s="22" t="str">
        <f t="shared" si="1"/>
        <v>OCT</v>
      </c>
      <c r="M11" s="22" t="str">
        <f t="shared" si="2"/>
        <v>UK</v>
      </c>
    </row>
    <row r="12" spans="1:13" x14ac:dyDescent="0.35">
      <c r="A12" s="2" t="s">
        <v>40</v>
      </c>
      <c r="B12" s="2" t="s">
        <v>7</v>
      </c>
      <c r="C12" s="2" t="s">
        <v>41</v>
      </c>
      <c r="D12" s="5">
        <v>950</v>
      </c>
      <c r="E12" s="2">
        <v>25</v>
      </c>
      <c r="F12" s="2" t="s">
        <v>9</v>
      </c>
      <c r="G12" s="19" t="str">
        <v>HIGH PRICE</v>
      </c>
      <c r="J12" s="2" t="s">
        <v>40</v>
      </c>
      <c r="K12" s="22" t="str">
        <f t="shared" si="0"/>
        <v>17</v>
      </c>
      <c r="L12" s="22" t="str">
        <f t="shared" si="1"/>
        <v>JUN</v>
      </c>
      <c r="M12" s="22" t="str">
        <f t="shared" si="2"/>
        <v>IN</v>
      </c>
    </row>
    <row r="13" spans="1:13" x14ac:dyDescent="0.35">
      <c r="A13" s="3" t="s">
        <v>42</v>
      </c>
      <c r="B13" s="3" t="s">
        <v>11</v>
      </c>
      <c r="C13" s="3" t="s">
        <v>30</v>
      </c>
      <c r="D13" s="6">
        <v>90</v>
      </c>
      <c r="E13" s="3">
        <v>40</v>
      </c>
      <c r="F13" s="3" t="s">
        <v>13</v>
      </c>
      <c r="G13" s="20" t="str">
        <v>STANDARD PRICE</v>
      </c>
      <c r="J13" s="3" t="s">
        <v>42</v>
      </c>
      <c r="K13" s="22" t="str">
        <f t="shared" si="0"/>
        <v>25</v>
      </c>
      <c r="L13" s="22" t="str">
        <f t="shared" si="1"/>
        <v>NOV</v>
      </c>
      <c r="M13" s="22" t="str">
        <f t="shared" si="2"/>
        <v>AU</v>
      </c>
    </row>
    <row r="14" spans="1:13" x14ac:dyDescent="0.35">
      <c r="A14" s="2" t="s">
        <v>43</v>
      </c>
      <c r="B14" s="2" t="s">
        <v>15</v>
      </c>
      <c r="C14" s="2" t="s">
        <v>44</v>
      </c>
      <c r="D14" s="5">
        <v>120</v>
      </c>
      <c r="E14" s="2">
        <v>35</v>
      </c>
      <c r="F14" s="2" t="s">
        <v>17</v>
      </c>
      <c r="G14" s="19" t="str">
        <v>STANDARD PRICE</v>
      </c>
      <c r="J14" s="2" t="s">
        <v>43</v>
      </c>
      <c r="K14" s="22" t="str">
        <f t="shared" si="0"/>
        <v>08</v>
      </c>
      <c r="L14" s="22" t="str">
        <f t="shared" si="1"/>
        <v>DEC</v>
      </c>
      <c r="M14" s="22" t="str">
        <f t="shared" si="2"/>
        <v>DE</v>
      </c>
    </row>
    <row r="15" spans="1:13" x14ac:dyDescent="0.35">
      <c r="A15" s="3" t="s">
        <v>45</v>
      </c>
      <c r="B15" s="3" t="s">
        <v>46</v>
      </c>
      <c r="C15" s="3" t="s">
        <v>47</v>
      </c>
      <c r="D15" s="6">
        <v>150</v>
      </c>
      <c r="E15" s="3">
        <v>15</v>
      </c>
      <c r="F15" s="3" t="s">
        <v>9</v>
      </c>
      <c r="G15" s="20" t="str">
        <v>STANDARD PRICE</v>
      </c>
      <c r="J15" s="3" t="s">
        <v>45</v>
      </c>
      <c r="K15" s="22" t="str">
        <f t="shared" si="0"/>
        <v>18</v>
      </c>
      <c r="L15" s="22" t="str">
        <f t="shared" si="1"/>
        <v>FEB</v>
      </c>
      <c r="M15" s="22" t="str">
        <f t="shared" si="2"/>
        <v>CA</v>
      </c>
    </row>
    <row r="16" spans="1:13" x14ac:dyDescent="0.35">
      <c r="A16" s="2" t="s">
        <v>48</v>
      </c>
      <c r="B16" s="2" t="s">
        <v>26</v>
      </c>
      <c r="C16" s="2" t="s">
        <v>49</v>
      </c>
      <c r="D16" s="5">
        <v>250</v>
      </c>
      <c r="E16" s="2">
        <v>20</v>
      </c>
      <c r="F16" s="2" t="s">
        <v>9</v>
      </c>
      <c r="G16" s="19" t="str">
        <v>STANDARD PRICE</v>
      </c>
      <c r="J16" s="2" t="s">
        <v>48</v>
      </c>
      <c r="K16" s="22" t="str">
        <f t="shared" si="0"/>
        <v>16</v>
      </c>
      <c r="L16" s="22" t="str">
        <f t="shared" si="1"/>
        <v>APR</v>
      </c>
      <c r="M16" s="22" t="str">
        <f t="shared" si="2"/>
        <v>ES</v>
      </c>
    </row>
    <row r="17" spans="1:13" x14ac:dyDescent="0.35">
      <c r="A17" s="3" t="s">
        <v>50</v>
      </c>
      <c r="B17" s="3" t="s">
        <v>51</v>
      </c>
      <c r="C17" s="3" t="s">
        <v>52</v>
      </c>
      <c r="D17" s="6">
        <v>50</v>
      </c>
      <c r="E17" s="3">
        <v>35</v>
      </c>
      <c r="F17" s="3" t="s">
        <v>53</v>
      </c>
      <c r="G17" s="20" t="str">
        <v>STANDARD PRICE</v>
      </c>
      <c r="J17" s="3" t="s">
        <v>50</v>
      </c>
      <c r="K17" s="22" t="str">
        <f t="shared" si="0"/>
        <v>21</v>
      </c>
      <c r="L17" s="22" t="str">
        <f t="shared" si="1"/>
        <v>AUG</v>
      </c>
      <c r="M17" s="22" t="str">
        <f t="shared" si="2"/>
        <v>CA</v>
      </c>
    </row>
    <row r="18" spans="1:13" x14ac:dyDescent="0.35">
      <c r="A18" s="2" t="s">
        <v>54</v>
      </c>
      <c r="B18" s="2" t="s">
        <v>46</v>
      </c>
      <c r="C18" s="2" t="s">
        <v>55</v>
      </c>
      <c r="D18" s="5">
        <v>160</v>
      </c>
      <c r="E18" s="2">
        <v>15</v>
      </c>
      <c r="F18" s="2" t="s">
        <v>9</v>
      </c>
      <c r="G18" s="19" t="str">
        <v>STANDARD PRICE</v>
      </c>
      <c r="J18" s="2" t="s">
        <v>54</v>
      </c>
      <c r="K18" s="22" t="str">
        <f t="shared" si="0"/>
        <v>20</v>
      </c>
      <c r="L18" s="22" t="str">
        <f t="shared" si="1"/>
        <v>AUG</v>
      </c>
      <c r="M18" s="22" t="str">
        <f t="shared" si="2"/>
        <v>CN</v>
      </c>
    </row>
    <row r="19" spans="1:13" x14ac:dyDescent="0.35">
      <c r="A19" s="3" t="s">
        <v>56</v>
      </c>
      <c r="B19" s="3" t="s">
        <v>7</v>
      </c>
      <c r="C19" s="3" t="s">
        <v>57</v>
      </c>
      <c r="D19" s="6">
        <v>980</v>
      </c>
      <c r="E19" s="3">
        <v>10</v>
      </c>
      <c r="F19" s="3" t="s">
        <v>9</v>
      </c>
      <c r="G19" s="20" t="str">
        <v>HIGH PRICE</v>
      </c>
      <c r="J19" s="3" t="s">
        <v>56</v>
      </c>
      <c r="K19" s="22" t="str">
        <f t="shared" si="0"/>
        <v>27</v>
      </c>
      <c r="L19" s="22" t="str">
        <f t="shared" si="1"/>
        <v>JAN</v>
      </c>
      <c r="M19" s="22" t="str">
        <f t="shared" si="2"/>
        <v>IT</v>
      </c>
    </row>
    <row r="20" spans="1:13" x14ac:dyDescent="0.35">
      <c r="A20" s="2" t="s">
        <v>58</v>
      </c>
      <c r="B20" s="2" t="s">
        <v>59</v>
      </c>
      <c r="C20" s="2" t="s">
        <v>60</v>
      </c>
      <c r="D20" s="5">
        <v>150</v>
      </c>
      <c r="E20" s="2">
        <v>15</v>
      </c>
      <c r="F20" s="2" t="s">
        <v>13</v>
      </c>
      <c r="G20" s="19" t="str">
        <v>STANDARD PRICE</v>
      </c>
      <c r="J20" s="2" t="s">
        <v>58</v>
      </c>
      <c r="K20" s="22" t="str">
        <f t="shared" si="0"/>
        <v>01</v>
      </c>
      <c r="L20" s="22" t="str">
        <f t="shared" si="1"/>
        <v>MAR</v>
      </c>
      <c r="M20" s="22" t="str">
        <f t="shared" si="2"/>
        <v>UK</v>
      </c>
    </row>
    <row r="21" spans="1:13" x14ac:dyDescent="0.35">
      <c r="A21" s="3" t="s">
        <v>61</v>
      </c>
      <c r="B21" s="3" t="s">
        <v>62</v>
      </c>
      <c r="C21" s="3" t="s">
        <v>63</v>
      </c>
      <c r="D21" s="6">
        <v>200</v>
      </c>
      <c r="E21" s="3">
        <v>10</v>
      </c>
      <c r="F21" s="3" t="s">
        <v>24</v>
      </c>
      <c r="G21" s="20" t="str">
        <v>STANDARD PRICE</v>
      </c>
      <c r="J21" s="3" t="s">
        <v>61</v>
      </c>
      <c r="K21" s="22" t="str">
        <f t="shared" si="0"/>
        <v>14</v>
      </c>
      <c r="L21" s="22" t="str">
        <f t="shared" si="1"/>
        <v>AUG</v>
      </c>
      <c r="M21" s="22" t="str">
        <f t="shared" si="2"/>
        <v>US</v>
      </c>
    </row>
    <row r="22" spans="1:13" x14ac:dyDescent="0.35">
      <c r="A22" s="2" t="s">
        <v>64</v>
      </c>
      <c r="B22" s="2" t="s">
        <v>65</v>
      </c>
      <c r="C22" s="2" t="s">
        <v>66</v>
      </c>
      <c r="D22" s="5">
        <v>700</v>
      </c>
      <c r="E22" s="2">
        <v>50</v>
      </c>
      <c r="F22" s="2" t="s">
        <v>9</v>
      </c>
      <c r="G22" s="19" t="str">
        <v>HIGH PRICE</v>
      </c>
      <c r="J22" s="2" t="s">
        <v>64</v>
      </c>
      <c r="K22" s="22" t="str">
        <f t="shared" si="0"/>
        <v>14</v>
      </c>
      <c r="L22" s="22" t="str">
        <f t="shared" si="1"/>
        <v>MAY</v>
      </c>
      <c r="M22" s="22" t="str">
        <f t="shared" si="2"/>
        <v>RU</v>
      </c>
    </row>
    <row r="23" spans="1:13" x14ac:dyDescent="0.35">
      <c r="A23" s="3" t="s">
        <v>67</v>
      </c>
      <c r="B23" s="3" t="s">
        <v>68</v>
      </c>
      <c r="C23" s="3" t="s">
        <v>69</v>
      </c>
      <c r="D23" s="6">
        <v>80</v>
      </c>
      <c r="E23" s="3">
        <v>20</v>
      </c>
      <c r="F23" s="3" t="s">
        <v>17</v>
      </c>
      <c r="G23" s="20" t="str">
        <v>STANDARD PRICE</v>
      </c>
      <c r="J23" s="3" t="s">
        <v>67</v>
      </c>
      <c r="K23" s="22" t="str">
        <f t="shared" si="0"/>
        <v>09</v>
      </c>
      <c r="L23" s="22" t="str">
        <f t="shared" si="1"/>
        <v>JAN</v>
      </c>
      <c r="M23" s="22" t="str">
        <f t="shared" si="2"/>
        <v>CA</v>
      </c>
    </row>
    <row r="24" spans="1:13" x14ac:dyDescent="0.35">
      <c r="A24" s="2" t="s">
        <v>70</v>
      </c>
      <c r="B24" s="2" t="s">
        <v>71</v>
      </c>
      <c r="C24" s="2" t="s">
        <v>72</v>
      </c>
      <c r="D24" s="5">
        <v>150</v>
      </c>
      <c r="E24" s="2">
        <v>30</v>
      </c>
      <c r="F24" s="2" t="s">
        <v>9</v>
      </c>
      <c r="G24" s="19" t="str">
        <v>STANDARD PRICE</v>
      </c>
      <c r="J24" s="2" t="s">
        <v>70</v>
      </c>
      <c r="K24" s="22" t="str">
        <f t="shared" si="0"/>
        <v>19</v>
      </c>
      <c r="L24" s="22" t="str">
        <f t="shared" si="1"/>
        <v>JUL</v>
      </c>
      <c r="M24" s="22" t="str">
        <f t="shared" si="2"/>
        <v>BR</v>
      </c>
    </row>
    <row r="25" spans="1:13" x14ac:dyDescent="0.35">
      <c r="A25" s="3" t="s">
        <v>50</v>
      </c>
      <c r="B25" s="3" t="s">
        <v>51</v>
      </c>
      <c r="C25" s="3" t="s">
        <v>52</v>
      </c>
      <c r="D25" s="6">
        <v>50</v>
      </c>
      <c r="E25" s="3">
        <v>35</v>
      </c>
      <c r="F25" s="3" t="s">
        <v>53</v>
      </c>
      <c r="G25" s="20" t="str">
        <v>STANDARD PRICE</v>
      </c>
      <c r="J25" s="3" t="s">
        <v>50</v>
      </c>
      <c r="K25" s="22" t="str">
        <f t="shared" si="0"/>
        <v>21</v>
      </c>
      <c r="L25" s="22" t="str">
        <f t="shared" si="1"/>
        <v>AUG</v>
      </c>
      <c r="M25" s="22" t="str">
        <f t="shared" si="2"/>
        <v>CA</v>
      </c>
    </row>
    <row r="26" spans="1:13" x14ac:dyDescent="0.35">
      <c r="A26" s="2" t="s">
        <v>73</v>
      </c>
      <c r="B26" s="2" t="s">
        <v>19</v>
      </c>
      <c r="C26" s="2" t="s">
        <v>74</v>
      </c>
      <c r="D26" s="5">
        <v>800</v>
      </c>
      <c r="E26" s="2">
        <v>45</v>
      </c>
      <c r="F26" s="2" t="s">
        <v>9</v>
      </c>
      <c r="G26" s="19" t="str">
        <v>HIGH PRICE</v>
      </c>
      <c r="J26" s="2" t="s">
        <v>73</v>
      </c>
      <c r="K26" s="22" t="str">
        <f t="shared" si="0"/>
        <v>29</v>
      </c>
      <c r="L26" s="22" t="str">
        <f t="shared" si="1"/>
        <v>SEP</v>
      </c>
      <c r="M26" s="22" t="str">
        <f t="shared" si="2"/>
        <v>CA</v>
      </c>
    </row>
    <row r="27" spans="1:13" x14ac:dyDescent="0.35">
      <c r="A27" s="3" t="s">
        <v>75</v>
      </c>
      <c r="B27" s="3" t="s">
        <v>59</v>
      </c>
      <c r="C27" s="3" t="s">
        <v>76</v>
      </c>
      <c r="D27" s="6">
        <v>130</v>
      </c>
      <c r="E27" s="3">
        <v>25</v>
      </c>
      <c r="F27" s="3" t="s">
        <v>13</v>
      </c>
      <c r="G27" s="20" t="str">
        <v>STANDARD PRICE</v>
      </c>
      <c r="J27" s="3" t="s">
        <v>75</v>
      </c>
      <c r="K27" s="22" t="str">
        <f t="shared" si="0"/>
        <v>03</v>
      </c>
      <c r="L27" s="22" t="str">
        <f t="shared" si="1"/>
        <v>JUN</v>
      </c>
      <c r="M27" s="22" t="str">
        <f t="shared" si="2"/>
        <v>CA</v>
      </c>
    </row>
    <row r="28" spans="1:13" x14ac:dyDescent="0.35">
      <c r="A28" s="2" t="s">
        <v>77</v>
      </c>
      <c r="B28" s="2" t="s">
        <v>32</v>
      </c>
      <c r="C28" s="2" t="s">
        <v>78</v>
      </c>
      <c r="D28" s="5">
        <v>400</v>
      </c>
      <c r="E28" s="2">
        <v>40</v>
      </c>
      <c r="F28" s="2" t="s">
        <v>17</v>
      </c>
      <c r="G28" s="19" t="str">
        <v>STANDARD PRICE</v>
      </c>
      <c r="J28" s="2" t="s">
        <v>77</v>
      </c>
      <c r="K28" s="22" t="str">
        <f t="shared" si="0"/>
        <v>11</v>
      </c>
      <c r="L28" s="22" t="str">
        <f t="shared" si="1"/>
        <v>JUL</v>
      </c>
      <c r="M28" s="22" t="str">
        <f t="shared" si="2"/>
        <v>CA</v>
      </c>
    </row>
    <row r="29" spans="1:13" x14ac:dyDescent="0.35">
      <c r="A29" s="3" t="s">
        <v>48</v>
      </c>
      <c r="B29" s="3" t="s">
        <v>26</v>
      </c>
      <c r="C29" s="3" t="s">
        <v>49</v>
      </c>
      <c r="D29" s="6">
        <v>230</v>
      </c>
      <c r="E29" s="3">
        <v>20</v>
      </c>
      <c r="F29" s="3" t="s">
        <v>9</v>
      </c>
      <c r="G29" s="20" t="str">
        <v>STANDARD PRICE</v>
      </c>
      <c r="J29" s="3" t="s">
        <v>48</v>
      </c>
      <c r="K29" s="22" t="str">
        <f t="shared" si="0"/>
        <v>16</v>
      </c>
      <c r="L29" s="22" t="str">
        <f t="shared" si="1"/>
        <v>APR</v>
      </c>
      <c r="M29" s="22" t="str">
        <f t="shared" si="2"/>
        <v>ES</v>
      </c>
    </row>
    <row r="30" spans="1:13" x14ac:dyDescent="0.35">
      <c r="A30" s="2" t="s">
        <v>79</v>
      </c>
      <c r="B30" s="2" t="s">
        <v>80</v>
      </c>
      <c r="C30" s="2" t="s">
        <v>81</v>
      </c>
      <c r="D30" s="5">
        <v>60</v>
      </c>
      <c r="E30" s="2">
        <v>30</v>
      </c>
      <c r="F30" s="2" t="s">
        <v>13</v>
      </c>
      <c r="G30" s="19" t="str">
        <v>STANDARD PRICE</v>
      </c>
      <c r="J30" s="2" t="s">
        <v>79</v>
      </c>
      <c r="K30" s="22" t="str">
        <f t="shared" si="0"/>
        <v>07</v>
      </c>
      <c r="L30" s="22" t="str">
        <f t="shared" si="1"/>
        <v>MAR</v>
      </c>
      <c r="M30" s="22" t="str">
        <f t="shared" si="2"/>
        <v>CA</v>
      </c>
    </row>
    <row r="31" spans="1:13" x14ac:dyDescent="0.35">
      <c r="A31" s="3" t="s">
        <v>82</v>
      </c>
      <c r="B31" s="3" t="s">
        <v>83</v>
      </c>
      <c r="C31" s="3" t="s">
        <v>84</v>
      </c>
      <c r="D31" s="6">
        <v>40</v>
      </c>
      <c r="E31" s="3">
        <v>10</v>
      </c>
      <c r="F31" s="3" t="s">
        <v>17</v>
      </c>
      <c r="G31" s="20" t="str">
        <v>STANDARD PRICE</v>
      </c>
      <c r="J31" s="3" t="s">
        <v>82</v>
      </c>
      <c r="K31" s="22" t="str">
        <f t="shared" si="0"/>
        <v>13</v>
      </c>
      <c r="L31" s="22" t="str">
        <f t="shared" si="1"/>
        <v>APR</v>
      </c>
      <c r="M31" s="22" t="str">
        <f t="shared" si="2"/>
        <v>CA</v>
      </c>
    </row>
    <row r="32" spans="1:13" x14ac:dyDescent="0.35">
      <c r="A32" s="2" t="s">
        <v>85</v>
      </c>
      <c r="B32" s="2" t="s">
        <v>71</v>
      </c>
      <c r="C32" s="2" t="s">
        <v>86</v>
      </c>
      <c r="D32" s="5">
        <v>130</v>
      </c>
      <c r="E32" s="2">
        <v>5</v>
      </c>
      <c r="F32" s="2" t="s">
        <v>9</v>
      </c>
      <c r="G32" s="19" t="str">
        <v>STANDARD PRICE</v>
      </c>
      <c r="J32" s="2" t="s">
        <v>85</v>
      </c>
      <c r="K32" s="22" t="str">
        <f t="shared" si="0"/>
        <v>24</v>
      </c>
      <c r="L32" s="22" t="str">
        <f t="shared" si="1"/>
        <v>MAY</v>
      </c>
      <c r="M32" s="22" t="str">
        <f t="shared" si="2"/>
        <v>CA</v>
      </c>
    </row>
    <row r="33" spans="1:13" x14ac:dyDescent="0.35">
      <c r="A33" s="3" t="s">
        <v>87</v>
      </c>
      <c r="B33" s="3" t="s">
        <v>88</v>
      </c>
      <c r="C33" s="3" t="s">
        <v>89</v>
      </c>
      <c r="D33" s="6">
        <v>50</v>
      </c>
      <c r="E33" s="3">
        <v>50</v>
      </c>
      <c r="F33" s="3" t="s">
        <v>13</v>
      </c>
      <c r="G33" s="20" t="str">
        <v>STANDARD PRICE</v>
      </c>
      <c r="J33" s="3" t="s">
        <v>87</v>
      </c>
      <c r="K33" s="22" t="str">
        <f t="shared" si="0"/>
        <v>02</v>
      </c>
      <c r="L33" s="22" t="str">
        <f t="shared" si="1"/>
        <v>DEC</v>
      </c>
      <c r="M33" s="22" t="str">
        <f t="shared" si="2"/>
        <v>CA</v>
      </c>
    </row>
    <row r="34" spans="1:13" x14ac:dyDescent="0.35">
      <c r="A34" s="2" t="s">
        <v>40</v>
      </c>
      <c r="B34" s="2" t="s">
        <v>7</v>
      </c>
      <c r="C34" s="2" t="s">
        <v>41</v>
      </c>
      <c r="D34" s="5">
        <v>950</v>
      </c>
      <c r="E34" s="2">
        <v>25</v>
      </c>
      <c r="F34" s="2" t="s">
        <v>9</v>
      </c>
      <c r="G34" s="19" t="str">
        <v>HIGH PRICE</v>
      </c>
      <c r="J34" s="2" t="s">
        <v>40</v>
      </c>
      <c r="K34" s="22" t="str">
        <f t="shared" si="0"/>
        <v>17</v>
      </c>
      <c r="L34" s="22" t="str">
        <f t="shared" si="1"/>
        <v>JUN</v>
      </c>
      <c r="M34" s="22" t="str">
        <f t="shared" si="2"/>
        <v>IN</v>
      </c>
    </row>
    <row r="35" spans="1:13" x14ac:dyDescent="0.35">
      <c r="A35" s="3" t="s">
        <v>90</v>
      </c>
      <c r="B35" s="3" t="s">
        <v>91</v>
      </c>
      <c r="C35" s="3" t="s">
        <v>92</v>
      </c>
      <c r="D35" s="6">
        <v>100</v>
      </c>
      <c r="E35" s="3">
        <v>20</v>
      </c>
      <c r="F35" s="3" t="s">
        <v>53</v>
      </c>
      <c r="G35" s="20" t="str">
        <v>STANDARD PRICE</v>
      </c>
      <c r="J35" s="3" t="s">
        <v>90</v>
      </c>
      <c r="K35" s="22" t="str">
        <f t="shared" si="0"/>
        <v>09</v>
      </c>
      <c r="L35" s="22" t="str">
        <f t="shared" si="1"/>
        <v>JUL</v>
      </c>
      <c r="M35" s="22" t="str">
        <f t="shared" si="2"/>
        <v>FR</v>
      </c>
    </row>
    <row r="36" spans="1:13" x14ac:dyDescent="0.35">
      <c r="K36" s="22" t="str">
        <f t="shared" si="0"/>
        <v/>
      </c>
    </row>
    <row r="37" spans="1:13" x14ac:dyDescent="0.35">
      <c r="K37" s="22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DATAS NEW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2026-05-20T12:42:54Z</dcterms:created>
  <dcterms:modified xsi:type="dcterms:W3CDTF">2026-05-22T07:49:35Z</dcterms:modified>
</cp:coreProperties>
</file>